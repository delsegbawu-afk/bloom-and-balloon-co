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11">
    <font>
      <name val="Calibri"/>
      <family val="2"/>
      <color theme="1"/>
      <sz val="11"/>
      <scheme val="minor"/>
    </font>
    <font>
      <name val="Arial"/>
      <b val="1"/>
      <color rgb="00C0394B"/>
      <sz val="14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E7D32"/>
      <sz val="9"/>
    </font>
    <font>
      <name val="Arial"/>
      <b val="1"/>
      <color rgb="00856404"/>
      <sz val="9"/>
    </font>
    <font>
      <name val="Arial"/>
      <b val="1"/>
      <color rgb="00555555"/>
      <sz val="9"/>
    </font>
    <font>
      <name val="Arial"/>
      <b val="1"/>
      <color rgb="00C0394B"/>
      <sz val="11"/>
    </font>
    <font>
      <name val="Arial"/>
      <b val="1"/>
      <color rgb="00333333"/>
      <sz val="10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F5F7"/>
      </patternFill>
    </fill>
    <fill>
      <patternFill patternType="solid">
        <fgColor rgb="00C0394B"/>
      </patternFill>
    </fill>
    <fill>
      <patternFill patternType="solid">
        <fgColor rgb="00FFF0F3"/>
      </patternFill>
    </fill>
    <fill>
      <patternFill patternType="solid">
        <fgColor rgb="00D6F0D6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0F0F0"/>
      </patternFill>
    </fill>
    <fill>
      <patternFill patternType="solid">
        <fgColor rgb="00FFFA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/>
    </xf>
    <xf numFmtId="0" fontId="9" fillId="10" borderId="1" applyAlignment="1" pivotButton="0" quotePrefix="0" xfId="0">
      <alignment vertical="center"/>
    </xf>
    <xf numFmtId="0" fontId="8" fillId="10" borderId="1" applyAlignment="1" pivotButton="0" quotePrefix="0" xfId="0">
      <alignment horizontal="center" vertical="center"/>
    </xf>
    <xf numFmtId="0" fontId="9" fillId="7" borderId="1" applyAlignment="1" pivotButton="0" quotePrefix="0" xfId="0">
      <alignment vertical="center"/>
    </xf>
    <xf numFmtId="4" fontId="8" fillId="7" borderId="1" applyAlignment="1" pivotButton="0" quotePrefix="0" xfId="0">
      <alignment horizontal="center" vertical="center"/>
    </xf>
    <xf numFmtId="4" fontId="8" fillId="1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4" fillId="5" borderId="1" pivotButton="0" quotePrefix="0" xfId="0"/>
    <xf numFmtId="4" fontId="10" fillId="5" borderId="1" applyAlignment="1" pivotButton="0" quotePrefix="0" xfId="0">
      <alignment horizontal="center"/>
    </xf>
    <xf numFmtId="0" fontId="4" fillId="7" borderId="1" pivotButton="0" quotePrefix="0" xfId="0"/>
    <xf numFmtId="4" fontId="1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4" customWidth="1" min="4" max="4"/>
    <col width="7" customWidth="1" min="5" max="5"/>
    <col width="16" customWidth="1" min="6" max="6"/>
    <col width="14" customWidth="1" min="7" max="7"/>
    <col width="14" customWidth="1" min="8" max="8"/>
  </cols>
  <sheetData>
    <row r="1" ht="30" customHeight="1">
      <c r="A1" s="1" t="inlineStr">
        <is>
          <t>🌸 Bloom &amp; Balloon Co. — Order Tracker</t>
        </is>
      </c>
    </row>
    <row r="2" ht="18" customHeight="1">
      <c r="A2" s="2" t="inlineStr">
        <is>
          <t>Track all client orders, quantities, pricing, and status</t>
        </is>
      </c>
    </row>
    <row r="3" ht="6" customHeight="1"/>
    <row r="4" ht="22" customHeight="1">
      <c r="A4" s="3" t="inlineStr">
        <is>
          <t>Order #</t>
        </is>
      </c>
      <c r="B4" s="3" t="inlineStr">
        <is>
          <t>Customer Name</t>
        </is>
      </c>
      <c r="C4" s="3" t="inlineStr">
        <is>
          <t>Event Type</t>
        </is>
      </c>
      <c r="D4" s="3" t="inlineStr">
        <is>
          <t>Event Date</t>
        </is>
      </c>
      <c r="E4" s="3" t="inlineStr">
        <is>
          <t>Qty</t>
        </is>
      </c>
      <c r="F4" s="3" t="inlineStr">
        <is>
          <t>Unit Price (₱)</t>
        </is>
      </c>
      <c r="G4" s="3" t="inlineStr">
        <is>
          <t>Total (₱)</t>
        </is>
      </c>
      <c r="H4" s="3" t="inlineStr">
        <is>
          <t>Status</t>
        </is>
      </c>
    </row>
    <row r="5">
      <c r="A5" s="4" t="n">
        <v>1</v>
      </c>
      <c r="B5" s="5" t="inlineStr">
        <is>
          <t>Jane Doe</t>
        </is>
      </c>
      <c r="C5" s="4" t="inlineStr">
        <is>
          <t>Birthday</t>
        </is>
      </c>
      <c r="D5" s="4" t="inlineStr">
        <is>
          <t>2025-03-01</t>
        </is>
      </c>
      <c r="E5" s="4" t="n">
        <v>2</v>
      </c>
      <c r="F5" s="6" t="n">
        <v>15</v>
      </c>
      <c r="G5" s="6">
        <f>E5*F5</f>
        <v/>
      </c>
      <c r="H5" s="7" t="inlineStr">
        <is>
          <t>Completed</t>
        </is>
      </c>
    </row>
    <row r="6">
      <c r="A6" s="8" t="n">
        <v>2</v>
      </c>
      <c r="B6" s="9" t="inlineStr">
        <is>
          <t>Maria Santos</t>
        </is>
      </c>
      <c r="C6" s="8" t="inlineStr">
        <is>
          <t>Graduation</t>
        </is>
      </c>
      <c r="D6" s="8" t="inlineStr">
        <is>
          <t>2025-03-05</t>
        </is>
      </c>
      <c r="E6" s="8" t="n">
        <v>5</v>
      </c>
      <c r="F6" s="10" t="n">
        <v>20</v>
      </c>
      <c r="G6" s="10">
        <f>E6*F6</f>
        <v/>
      </c>
      <c r="H6" s="7" t="inlineStr">
        <is>
          <t>Completed</t>
        </is>
      </c>
    </row>
    <row r="7">
      <c r="A7" s="4" t="n">
        <v>3</v>
      </c>
      <c r="B7" s="5" t="inlineStr">
        <is>
          <t>Alex Kim</t>
        </is>
      </c>
      <c r="C7" s="4" t="inlineStr">
        <is>
          <t>School Fair</t>
        </is>
      </c>
      <c r="D7" s="4" t="inlineStr">
        <is>
          <t>2025-03-08</t>
        </is>
      </c>
      <c r="E7" s="4" t="n">
        <v>3</v>
      </c>
      <c r="F7" s="6" t="n">
        <v>12</v>
      </c>
      <c r="G7" s="6">
        <f>E7*F7</f>
        <v/>
      </c>
      <c r="H7" s="11" t="inlineStr">
        <is>
          <t>In Progress</t>
        </is>
      </c>
    </row>
    <row r="8">
      <c r="A8" s="8" t="n">
        <v>4</v>
      </c>
      <c r="B8" s="9" t="inlineStr">
        <is>
          <t>Sam Reyes</t>
        </is>
      </c>
      <c r="C8" s="8" t="inlineStr">
        <is>
          <t>Birthday</t>
        </is>
      </c>
      <c r="D8" s="8" t="inlineStr">
        <is>
          <t>2025-03-10</t>
        </is>
      </c>
      <c r="E8" s="8" t="n">
        <v>4</v>
      </c>
      <c r="F8" s="10" t="n">
        <v>15</v>
      </c>
      <c r="G8" s="10">
        <f>E8*F8</f>
        <v/>
      </c>
      <c r="H8" s="11" t="inlineStr">
        <is>
          <t>In Progress</t>
        </is>
      </c>
    </row>
    <row r="9">
      <c r="A9" s="4" t="n">
        <v>5</v>
      </c>
      <c r="B9" s="5" t="inlineStr">
        <is>
          <t>Lily Cruz</t>
        </is>
      </c>
      <c r="C9" s="4" t="inlineStr">
        <is>
          <t>Debut</t>
        </is>
      </c>
      <c r="D9" s="4" t="inlineStr">
        <is>
          <t>2025-03-15</t>
        </is>
      </c>
      <c r="E9" s="4" t="n">
        <v>10</v>
      </c>
      <c r="F9" s="6" t="n">
        <v>25</v>
      </c>
      <c r="G9" s="6">
        <f>E9*F9</f>
        <v/>
      </c>
      <c r="H9" s="12" t="inlineStr">
        <is>
          <t>Pending</t>
        </is>
      </c>
    </row>
    <row r="10">
      <c r="A10" s="8" t="n">
        <v>6</v>
      </c>
      <c r="B10" s="9" t="inlineStr">
        <is>
          <t>Kevin Tan</t>
        </is>
      </c>
      <c r="C10" s="8" t="inlineStr">
        <is>
          <t>Baby Shower</t>
        </is>
      </c>
      <c r="D10" s="8" t="inlineStr">
        <is>
          <t>2025-03-20</t>
        </is>
      </c>
      <c r="E10" s="8" t="n">
        <v>6</v>
      </c>
      <c r="F10" s="10" t="n">
        <v>18</v>
      </c>
      <c r="G10" s="10">
        <f>E10*F10</f>
        <v/>
      </c>
      <c r="H10" s="12" t="inlineStr">
        <is>
          <t>Pending</t>
        </is>
      </c>
    </row>
    <row r="11">
      <c r="A11" s="4" t="n">
        <v>7</v>
      </c>
      <c r="B11" s="5" t="inlineStr">
        <is>
          <t>Anna Villanueva</t>
        </is>
      </c>
      <c r="C11" s="4" t="inlineStr">
        <is>
          <t>Birthday</t>
        </is>
      </c>
      <c r="D11" s="4" t="inlineStr">
        <is>
          <t>2025-03-22</t>
        </is>
      </c>
      <c r="E11" s="4" t="n">
        <v>3</v>
      </c>
      <c r="F11" s="6" t="n">
        <v>15</v>
      </c>
      <c r="G11" s="6">
        <f>E11*F11</f>
        <v/>
      </c>
      <c r="H11" s="12" t="inlineStr">
        <is>
          <t>Pending</t>
        </is>
      </c>
    </row>
    <row r="12">
      <c r="A12" s="8" t="n">
        <v>8</v>
      </c>
      <c r="B12" s="9" t="inlineStr">
        <is>
          <t>Marco Dela Cruz</t>
        </is>
      </c>
      <c r="C12" s="8" t="inlineStr">
        <is>
          <t>Anniversary</t>
        </is>
      </c>
      <c r="D12" s="8" t="inlineStr">
        <is>
          <t>2025-03-28</t>
        </is>
      </c>
      <c r="E12" s="8" t="n">
        <v>8</v>
      </c>
      <c r="F12" s="10" t="n">
        <v>22</v>
      </c>
      <c r="G12" s="10">
        <f>E12*F12</f>
        <v/>
      </c>
      <c r="H12" s="12" t="inlineStr">
        <is>
          <t>Pending</t>
        </is>
      </c>
    </row>
    <row r="14" ht="22" customHeight="1">
      <c r="A14" s="13" t="inlineStr">
        <is>
          <t>TOTAL REVENUE</t>
        </is>
      </c>
      <c r="G14" s="14">
        <f>SUM(G5:G12)</f>
        <v/>
      </c>
    </row>
  </sheetData>
  <mergeCells count="3">
    <mergeCell ref="A14:F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🌸 Bloom &amp; Balloon Co. — Dashboard</t>
        </is>
      </c>
    </row>
    <row r="3" ht="24" customHeight="1">
      <c r="A3" s="15" t="inlineStr">
        <is>
          <t>📦 Total Orders</t>
        </is>
      </c>
      <c r="B3" s="16">
        <f>COUNTA(Orders!B5:B12)</f>
        <v/>
      </c>
    </row>
    <row r="4" ht="24" customHeight="1">
      <c r="A4" s="17" t="inlineStr">
        <is>
          <t>💰 Total Revenue (₱)</t>
        </is>
      </c>
      <c r="B4" s="18">
        <f>SUM(Orders!G5:G12)</f>
        <v/>
      </c>
    </row>
    <row r="5" ht="24" customHeight="1">
      <c r="A5" s="15" t="inlineStr">
        <is>
          <t>📊 Avg Order Value (₱)</t>
        </is>
      </c>
      <c r="B5" s="19">
        <f>IFERROR(SUM(Orders!G5:G12)/COUNTA(Orders!B5:B12),0)</f>
        <v/>
      </c>
    </row>
    <row r="6" ht="24" customHeight="1">
      <c r="A6" s="17" t="inlineStr">
        <is>
          <t>✅ Completed Orders</t>
        </is>
      </c>
      <c r="B6" s="20">
        <f>COUNTIF(Orders!H5:H12,"Completed")</f>
        <v/>
      </c>
    </row>
    <row r="7" ht="24" customHeight="1">
      <c r="A7" s="15" t="inlineStr">
        <is>
          <t>🔄 In Progress</t>
        </is>
      </c>
      <c r="B7" s="16">
        <f>COUNTIF(Orders!H5:H12,"In Progress")</f>
        <v/>
      </c>
    </row>
    <row r="8" ht="24" customHeight="1">
      <c r="A8" s="17" t="inlineStr">
        <is>
          <t>⏳ Pending Orders</t>
        </is>
      </c>
      <c r="B8" s="20">
        <f>COUNTIF(Orders!H5:H12,"Pending")</f>
        <v/>
      </c>
    </row>
    <row r="10">
      <c r="A10" s="21" t="inlineStr">
        <is>
          <t>📋 Revenue by Event Type</t>
        </is>
      </c>
    </row>
    <row r="11">
      <c r="A11" s="22" t="inlineStr">
        <is>
          <t>Birthday</t>
        </is>
      </c>
      <c r="B11" s="23">
        <f>SUMIF(Orders!C5:C12,A11,Orders!G5:G12)</f>
        <v/>
      </c>
    </row>
    <row r="12">
      <c r="A12" s="24" t="inlineStr">
        <is>
          <t>Graduation</t>
        </is>
      </c>
      <c r="B12" s="25">
        <f>SUMIF(Orders!C5:C12,A12,Orders!G5:G12)</f>
        <v/>
      </c>
    </row>
    <row r="13">
      <c r="A13" s="22" t="inlineStr">
        <is>
          <t>School Fair</t>
        </is>
      </c>
      <c r="B13" s="23">
        <f>SUMIF(Orders!C5:C12,A13,Orders!G5:G12)</f>
        <v/>
      </c>
    </row>
    <row r="14">
      <c r="A14" s="24" t="inlineStr">
        <is>
          <t>Debut</t>
        </is>
      </c>
      <c r="B14" s="25">
        <f>SUMIF(Orders!C5:C12,A14,Orders!G5:G12)</f>
        <v/>
      </c>
    </row>
    <row r="15">
      <c r="A15" s="22" t="inlineStr">
        <is>
          <t>Baby Shower</t>
        </is>
      </c>
      <c r="B15" s="23">
        <f>SUMIF(Orders!C5:C12,A15,Orders!G5:G12)</f>
        <v/>
      </c>
    </row>
    <row r="16">
      <c r="A16" s="24" t="inlineStr">
        <is>
          <t>Anniversary</t>
        </is>
      </c>
      <c r="B16" s="25">
        <f>SUMIF(Orders!C5:C12,A16,Orders!G5:G12)</f>
        <v/>
      </c>
    </row>
  </sheetData>
  <mergeCells count="2"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2026-03-10T21:04:32Z</dcterms:created>
  <dcterms:modified xmlns:dcterms="http://purl.org/dc/terms/" xmlns:xsi="http://www.w3.org/2001/XMLSchema-instance" xsi:type="dcterms:W3CDTF">2026-03-10T21:04:32Z</dcterms:modified>
</cp:coreProperties>
</file>